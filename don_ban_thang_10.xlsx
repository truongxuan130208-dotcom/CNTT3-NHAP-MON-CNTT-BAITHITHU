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580" windowHeight="7485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<sst xmlns="http://schemas.openxmlformats.org/spreadsheetml/2006/main" count="69" uniqueCount="51">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</sst>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E21" sqref="E21"/>
    </sheetView>
  </sheetViews>
  <sheetFormatPr defaultColWidth="9" defaultRowHeight="1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 xml:space="preserve">VLOOKUP(DonBan!C2, SanPham!$A$1:$C$8, 2, FALSE)</f>
        <v>Ke sach mini</v>
      </c>
      <c r="F2">
        <f xml:space="preserve">VLOOKUP(DonBan!C2, SanPham!$A$1:$C$8, 3, FALSE)</f>
        <v>100000</v>
      </c>
      <c r="G2">
        <f xml:space="preserve"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 xml:space="preserve">VLOOKUP(DonBan!C3, SanPham!$A$1:$C$8, 2, FALSE)</f>
        <v>Balo hoc sinh</v>
      </c>
      <c r="F3">
        <f xml:space="preserve">VLOOKUP(DonBan!C3, SanPham!$A$1:$C$8, 3, FALSE)</f>
        <v>250000</v>
      </c>
      <c r="G3">
        <f t="shared" ref="G3:G16" si="0" xml:space="preserve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 xml:space="preserve">VLOOKUP(DonBan!C4, SanPham!$A$1:$C$8, 2, FALSE)</f>
        <v>Loc vo 5 quyen</v>
      </c>
      <c r="F4">
        <f xml:space="preserve">VLOOKUP(DonBan!C4, SanPham!$A$1:$C$8, 3, 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 xml:space="preserve">VLOOKUP(DonBan!C5, SanPham!$A$1:$C$8, 2, FALSE)</f>
        <v>Ke sach mini</v>
      </c>
      <c r="F5">
        <f xml:space="preserve">VLOOKUP(DonBan!C5, SanPham!$A$1:$C$8, 3, FALSE)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 xml:space="preserve">VLOOKUP(DonBan!C6, SanPham!$A$1:$C$8, 2, FALSE)</f>
        <v>Bo but bi 10 chiec</v>
      </c>
      <c r="F6">
        <f xml:space="preserve">VLOOKUP(DonBan!C6, SanPham!$A$1:$C$8, 3, FALSE)</f>
        <v>35000</v>
      </c>
      <c r="G6">
        <f t="shared" si="0"/>
        <v>35000</v>
      </c>
    </row>
    <row r="7" hidden="1" spans="1:7">
      <c r="A7" t="s">
        <v>21</v>
      </c>
      <c r="B7" t="s">
        <v>22</v>
      </c>
      <c r="C7" t="s">
        <v>20</v>
      </c>
      <c r="D7">
        <v>4</v>
      </c>
      <c r="E7" t="str">
        <f xml:space="preserve">VLOOKUP(DonBan!C7, SanPham!$A$1:$C$8, 2, FALSE)</f>
        <v>Bo but bi 10 chiec</v>
      </c>
      <c r="F7">
        <f xml:space="preserve">VLOOKUP(DonBan!C7, SanPham!$A$1:$C$8, 3, 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 xml:space="preserve">VLOOKUP(DonBan!C8, SanPham!$A$1:$C$8, 2, FALSE)</f>
        <v>Balo hoc sinh</v>
      </c>
      <c r="F8">
        <f xml:space="preserve">VLOOKUP(DonBan!C8, SanPham!$A$1:$C$8, 3, FALSE)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 xml:space="preserve">VLOOKUP(DonBan!C9, SanPham!$A$1:$C$8, 2, FALSE)</f>
        <v>Loc vo 5 quyen</v>
      </c>
      <c r="F9">
        <f xml:space="preserve">VLOOKUP(DonBan!C9, SanPham!$A$1:$C$8, 3, 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 xml:space="preserve">VLOOKUP(DonBan!C10, SanPham!$A$1:$C$8, 2, FALSE)</f>
        <v>Balo hoc sinh</v>
      </c>
      <c r="F10">
        <f xml:space="preserve">VLOOKUP(DonBan!C10, SanPham!$A$1:$C$8, 3, 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 xml:space="preserve">VLOOKUP(DonBan!C11, SanPham!$A$1:$C$8, 2, FALSE)</f>
        <v>May tinh bo tui</v>
      </c>
      <c r="F11">
        <f xml:space="preserve">VLOOKUP(DonBan!C11, SanPham!$A$1:$C$8, 3, FALSE)</f>
        <v>150000</v>
      </c>
      <c r="G11">
        <f t="shared" si="0"/>
        <v>300000</v>
      </c>
    </row>
    <row r="12" hidden="1" spans="1:7">
      <c r="A12" t="s">
        <v>32</v>
      </c>
      <c r="B12" t="s">
        <v>33</v>
      </c>
      <c r="C12" t="s">
        <v>34</v>
      </c>
      <c r="D12">
        <v>2</v>
      </c>
      <c r="E12" t="str">
        <f xml:space="preserve">VLOOKUP(DonBan!C12, SanPham!$A$1:$C$8, 2, FALSE)</f>
        <v>Giay A4 500 to</v>
      </c>
      <c r="F12">
        <f xml:space="preserve">VLOOKUP(DonBan!C12, SanPham!$A$1:$C$8, 3, FALSE)</f>
        <v>75000</v>
      </c>
      <c r="G12">
        <f t="shared" si="0"/>
        <v>150000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 xml:space="preserve">VLOOKUP(DonBan!C13, SanPham!$A$1:$C$8, 2, FALSE)</f>
        <v>Loc vo 5 quyen</v>
      </c>
      <c r="F13">
        <f xml:space="preserve">VLOOKUP(DonBan!C13, SanPham!$A$1:$C$8, 3, FALSE)</f>
        <v>60000</v>
      </c>
      <c r="G13">
        <f t="shared" si="0"/>
        <v>180000</v>
      </c>
    </row>
    <row r="14" hidden="1" spans="1:7">
      <c r="A14" t="s">
        <v>37</v>
      </c>
      <c r="B14" t="s">
        <v>38</v>
      </c>
      <c r="C14" t="s">
        <v>20</v>
      </c>
      <c r="D14">
        <v>5</v>
      </c>
      <c r="E14" t="str">
        <f xml:space="preserve">VLOOKUP(DonBan!C14, SanPham!$A$1:$C$8, 2, FALSE)</f>
        <v>Bo but bi 10 chiec</v>
      </c>
      <c r="F14">
        <f xml:space="preserve">VLOOKUP(DonBan!C14, SanPham!$A$1:$C$8, 3, 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 xml:space="preserve">VLOOKUP(DonBan!C15, SanPham!$A$1:$C$8, 2, FALSE)</f>
        <v>Ke sach mini</v>
      </c>
      <c r="F15">
        <f xml:space="preserve">VLOOKUP(DonBan!C15, SanPham!$A$1:$C$8, 3, FALSE)</f>
        <v>100000</v>
      </c>
      <c r="G15">
        <f t="shared" si="0"/>
        <v>400000</v>
      </c>
    </row>
    <row r="16" hidden="1" spans="1:7">
      <c r="A16" t="s">
        <v>41</v>
      </c>
      <c r="B16" t="s">
        <v>42</v>
      </c>
      <c r="C16" t="s">
        <v>43</v>
      </c>
      <c r="D16">
        <v>5</v>
      </c>
      <c r="E16" t="str">
        <f xml:space="preserve">VLOOKUP(DonBan!C16, SanPham!$A$1:$C$8, 2, FALSE)</f>
        <v>Hop but da nang</v>
      </c>
      <c r="F16">
        <f xml:space="preserve">VLOOKUP(DonBan!C16, SanPham!$A$1:$C$8, 3, FALSE)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Chung</cp:lastModifiedBy>
  <dcterms:created xsi:type="dcterms:W3CDTF">2026-10-19T09:41:00Z</dcterms:created>
  <dcterms:modified xsi:type="dcterms:W3CDTF">2026-10-23T03:07:15Z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EC7B2CAE66324FE3BC6D727D03F51710_12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